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149c04d56c8bf8/Desktop/sim/hafta12/"/>
    </mc:Choice>
  </mc:AlternateContent>
  <xr:revisionPtr revIDLastSave="0" documentId="13_ncr:1_{23BE91BA-0F54-4BE3-90FE-2D6595CBD63C}" xr6:coauthVersionLast="47" xr6:coauthVersionMax="47" xr10:uidLastSave="{00000000-0000-0000-0000-000000000000}"/>
  <bookViews>
    <workbookView xWindow="-110" yWindow="-110" windowWidth="19420" windowHeight="12220" xr2:uid="{A8BA3483-0AEA-4C07-962B-4C61579A5594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I21" i="2" s="1"/>
  <c r="G21" i="2"/>
  <c r="B21" i="2"/>
  <c r="C21" i="2" s="1"/>
  <c r="H20" i="2"/>
  <c r="I20" i="2" s="1"/>
  <c r="G20" i="2"/>
  <c r="B20" i="2"/>
  <c r="C20" i="2" s="1"/>
  <c r="H19" i="2"/>
  <c r="I19" i="2" s="1"/>
  <c r="G19" i="2"/>
  <c r="B19" i="2"/>
  <c r="C19" i="2" s="1"/>
  <c r="H18" i="2"/>
  <c r="I18" i="2" s="1"/>
  <c r="G18" i="2"/>
  <c r="B18" i="2"/>
  <c r="C18" i="2" s="1"/>
  <c r="H17" i="2"/>
  <c r="I17" i="2" s="1"/>
  <c r="G17" i="2"/>
  <c r="B17" i="2"/>
  <c r="C17" i="2" s="1"/>
  <c r="H16" i="2"/>
  <c r="I16" i="2" s="1"/>
  <c r="G16" i="2"/>
  <c r="B16" i="2"/>
  <c r="C16" i="2" s="1"/>
  <c r="H15" i="2"/>
  <c r="I15" i="2" s="1"/>
  <c r="G15" i="2"/>
  <c r="B15" i="2"/>
  <c r="C15" i="2" s="1"/>
  <c r="H14" i="2"/>
  <c r="I14" i="2" s="1"/>
  <c r="G14" i="2"/>
  <c r="B14" i="2"/>
  <c r="C14" i="2" s="1"/>
  <c r="H13" i="2"/>
  <c r="I13" i="2" s="1"/>
  <c r="G13" i="2"/>
  <c r="B13" i="2"/>
  <c r="C13" i="2" s="1"/>
  <c r="H12" i="2"/>
  <c r="I12" i="2" s="1"/>
  <c r="G12" i="2"/>
  <c r="B12" i="2"/>
  <c r="C12" i="2" s="1"/>
  <c r="H11" i="2"/>
  <c r="I11" i="2" s="1"/>
  <c r="G11" i="2"/>
  <c r="B11" i="2"/>
  <c r="C11" i="2" s="1"/>
  <c r="H10" i="2"/>
  <c r="I10" i="2" s="1"/>
  <c r="G10" i="2"/>
  <c r="B10" i="2"/>
  <c r="C10" i="2" s="1"/>
  <c r="H9" i="2"/>
  <c r="I9" i="2" s="1"/>
  <c r="G9" i="2"/>
  <c r="B9" i="2"/>
  <c r="C9" i="2" s="1"/>
  <c r="H8" i="2"/>
  <c r="I8" i="2" s="1"/>
  <c r="G8" i="2"/>
  <c r="B8" i="2"/>
  <c r="C8" i="2" s="1"/>
  <c r="H7" i="2"/>
  <c r="I7" i="2" s="1"/>
  <c r="G7" i="2"/>
  <c r="B7" i="2"/>
  <c r="C7" i="2" s="1"/>
  <c r="H6" i="2"/>
  <c r="I6" i="2" s="1"/>
  <c r="G6" i="2"/>
  <c r="B6" i="2"/>
  <c r="C6" i="2" s="1"/>
  <c r="H5" i="2"/>
  <c r="I5" i="2" s="1"/>
  <c r="G5" i="2"/>
  <c r="B5" i="2"/>
  <c r="C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H4" i="2"/>
  <c r="I4" i="2" s="1"/>
  <c r="G4" i="2"/>
  <c r="B4" i="2"/>
  <c r="C4" i="2" s="1"/>
  <c r="A4" i="2"/>
  <c r="H3" i="2"/>
  <c r="I3" i="2" s="1"/>
  <c r="G3" i="2"/>
  <c r="B3" i="2"/>
  <c r="C3" i="2" s="1"/>
  <c r="A3" i="2"/>
  <c r="H2" i="2"/>
  <c r="I2" i="2" s="1"/>
  <c r="G2" i="2"/>
  <c r="B2" i="2"/>
  <c r="G22" i="1"/>
  <c r="G21" i="1"/>
  <c r="H21" i="1"/>
  <c r="I21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" i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" i="1"/>
  <c r="C2" i="1" s="1"/>
  <c r="D2" i="1" s="1"/>
  <c r="F2" i="1" s="1"/>
  <c r="A2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4" i="1"/>
  <c r="A5" i="1"/>
  <c r="A3" i="1"/>
  <c r="G22" i="2" l="1"/>
  <c r="C2" i="2"/>
  <c r="D2" i="2" s="1"/>
  <c r="I22" i="2"/>
  <c r="M2" i="2" s="1"/>
  <c r="O2" i="2" s="1"/>
  <c r="I22" i="1"/>
  <c r="K2" i="1"/>
  <c r="D3" i="1"/>
  <c r="D3" i="2" l="1"/>
  <c r="D4" i="2" s="1"/>
  <c r="F4" i="2" s="1"/>
  <c r="K4" i="2" s="1"/>
  <c r="F2" i="2"/>
  <c r="K2" i="2" s="1"/>
  <c r="D4" i="1"/>
  <c r="F3" i="1"/>
  <c r="D5" i="2" l="1"/>
  <c r="F5" i="2" s="1"/>
  <c r="K5" i="2" s="1"/>
  <c r="F3" i="2"/>
  <c r="K3" i="2" s="1"/>
  <c r="K3" i="1"/>
  <c r="D5" i="1"/>
  <c r="F4" i="1"/>
  <c r="K4" i="1" s="1"/>
  <c r="D6" i="2" l="1"/>
  <c r="D7" i="2" s="1"/>
  <c r="D6" i="1"/>
  <c r="F5" i="1"/>
  <c r="K5" i="1" s="1"/>
  <c r="F6" i="2" l="1"/>
  <c r="K6" i="2" s="1"/>
  <c r="D8" i="2"/>
  <c r="F7" i="2"/>
  <c r="K7" i="2" s="1"/>
  <c r="D7" i="1"/>
  <c r="F6" i="1"/>
  <c r="D9" i="2" l="1"/>
  <c r="F8" i="2"/>
  <c r="K6" i="1"/>
  <c r="D8" i="1"/>
  <c r="F7" i="1"/>
  <c r="K7" i="1" s="1"/>
  <c r="D10" i="2" l="1"/>
  <c r="F9" i="2"/>
  <c r="K9" i="2" s="1"/>
  <c r="K8" i="2"/>
  <c r="D9" i="1"/>
  <c r="F8" i="1"/>
  <c r="K8" i="1" s="1"/>
  <c r="D11" i="2" l="1"/>
  <c r="F10" i="2"/>
  <c r="K10" i="2" s="1"/>
  <c r="D10" i="1"/>
  <c r="F9" i="1"/>
  <c r="K9" i="1" s="1"/>
  <c r="D12" i="2" l="1"/>
  <c r="F11" i="2"/>
  <c r="K11" i="2" s="1"/>
  <c r="D11" i="1"/>
  <c r="F10" i="1"/>
  <c r="K10" i="1" s="1"/>
  <c r="D13" i="2" l="1"/>
  <c r="F12" i="2"/>
  <c r="K12" i="2" s="1"/>
  <c r="D12" i="1"/>
  <c r="F11" i="1"/>
  <c r="K11" i="1" s="1"/>
  <c r="D14" i="2" l="1"/>
  <c r="F13" i="2"/>
  <c r="K13" i="2" s="1"/>
  <c r="D13" i="1"/>
  <c r="F12" i="1"/>
  <c r="K12" i="1" s="1"/>
  <c r="D15" i="2" l="1"/>
  <c r="F14" i="2"/>
  <c r="K14" i="2" s="1"/>
  <c r="D14" i="1"/>
  <c r="F13" i="1"/>
  <c r="K13" i="1" s="1"/>
  <c r="D16" i="2" l="1"/>
  <c r="F15" i="2"/>
  <c r="K15" i="2" s="1"/>
  <c r="D15" i="1"/>
  <c r="F14" i="1"/>
  <c r="K14" i="1" s="1"/>
  <c r="D17" i="2" l="1"/>
  <c r="F16" i="2"/>
  <c r="K16" i="2" s="1"/>
  <c r="D16" i="1"/>
  <c r="F15" i="1"/>
  <c r="K15" i="1" s="1"/>
  <c r="D18" i="2" l="1"/>
  <c r="F17" i="2"/>
  <c r="K17" i="2" s="1"/>
  <c r="D17" i="1"/>
  <c r="F16" i="1"/>
  <c r="K16" i="1" s="1"/>
  <c r="D19" i="2" l="1"/>
  <c r="F18" i="2"/>
  <c r="K18" i="2" s="1"/>
  <c r="D18" i="1"/>
  <c r="F17" i="1"/>
  <c r="K17" i="1" s="1"/>
  <c r="D20" i="2" l="1"/>
  <c r="F19" i="2"/>
  <c r="K19" i="2" s="1"/>
  <c r="D19" i="1"/>
  <c r="F18" i="1"/>
  <c r="K18" i="1" s="1"/>
  <c r="F20" i="2" l="1"/>
  <c r="K20" i="2" s="1"/>
  <c r="D21" i="2"/>
  <c r="F21" i="2" s="1"/>
  <c r="D20" i="1"/>
  <c r="F19" i="1"/>
  <c r="K19" i="1" s="1"/>
  <c r="K21" i="2" l="1"/>
  <c r="K22" i="2" s="1"/>
  <c r="F22" i="2"/>
  <c r="Q2" i="2" s="1"/>
  <c r="D21" i="1"/>
  <c r="F21" i="1" s="1"/>
  <c r="F20" i="1"/>
  <c r="K20" i="1" s="1"/>
  <c r="K21" i="1" l="1"/>
  <c r="K22" i="1" s="1"/>
  <c r="F22" i="1"/>
  <c r="M2" i="1" l="1"/>
</calcChain>
</file>

<file path=xl/sharedStrings.xml><?xml version="1.0" encoding="utf-8"?>
<sst xmlns="http://schemas.openxmlformats.org/spreadsheetml/2006/main" count="28" uniqueCount="25">
  <si>
    <t>G.A.Z</t>
  </si>
  <si>
    <t>r1</t>
  </si>
  <si>
    <t>Ürün</t>
  </si>
  <si>
    <t>G.Z</t>
  </si>
  <si>
    <t>İşleme Başlama Zamanı</t>
  </si>
  <si>
    <t>Ürün Bekleme Süresi</t>
  </si>
  <si>
    <t>Makinenin Boş Kalma Süresi</t>
  </si>
  <si>
    <t>r2</t>
  </si>
  <si>
    <t>İşlem Süresi</t>
  </si>
  <si>
    <t>İşlem Bitiş Süresi</t>
  </si>
  <si>
    <t>Ürünün Sistemde Geçirdiği Süre</t>
  </si>
  <si>
    <t>Toplam</t>
  </si>
  <si>
    <t>Müşteri</t>
  </si>
  <si>
    <t>V.A.Z</t>
  </si>
  <si>
    <t>V.Z</t>
  </si>
  <si>
    <t>Hizmete Başlama Zamanı</t>
  </si>
  <si>
    <t>Müşteri Bekleme Süresi</t>
  </si>
  <si>
    <t>Memurun Boş Kalma Süresi</t>
  </si>
  <si>
    <t>Hizmet Süresi</t>
  </si>
  <si>
    <t>Ürünün Sistemde Geçirdiği Ortalama Sür</t>
  </si>
  <si>
    <t>Müşterinin Sistemde Geçirdiği Süre</t>
  </si>
  <si>
    <t>Müşterinin Ayrılma Zamanı</t>
  </si>
  <si>
    <t>Makinenin Boş Kalma %</t>
  </si>
  <si>
    <t>Makinenin Doluluk %</t>
  </si>
  <si>
    <t>Müşterinin Sistemde Geçirdiği Ort Süre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</si>
</sst>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17F0-5B88-4BCB-B2B2-AC37A11398B9}">
  <dimension ref="A1:M22"/>
  <sheetViews>
    <sheetView tabSelected="1" zoomScale="70" workbookViewId="0">
      <selection activeCell="L21" sqref="L21"/>
    </sheetView>
  </sheetViews>
  <sheetFormatPr defaultRowHeight="14.5" x14ac:dyDescent="0.35"/>
  <cols>
    <col min="5" max="5" width="20.453125" bestFit="1" customWidth="1"/>
    <col min="6" max="6" width="18.1796875" bestFit="1" customWidth="1"/>
    <col min="7" max="7" width="24.36328125" bestFit="1" customWidth="1"/>
    <col min="9" max="9" width="10.7265625" bestFit="1" customWidth="1"/>
    <col min="10" max="10" width="14.7265625" bestFit="1" customWidth="1"/>
    <col min="11" max="11" width="27.36328125" bestFit="1" customWidth="1"/>
    <col min="13" max="13" width="34.81640625" bestFit="1" customWidth="1"/>
  </cols>
  <sheetData>
    <row r="1" spans="1:13" x14ac:dyDescent="0.3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4" t="s">
        <v>19</v>
      </c>
    </row>
    <row r="2" spans="1:13" x14ac:dyDescent="0.35">
      <c r="A2" s="2">
        <v>1</v>
      </c>
      <c r="B2" s="2">
        <f ca="1">RANDBETWEEN(1,100)</f>
        <v>61</v>
      </c>
      <c r="C2" s="2">
        <f ca="1">IF(B2&lt;=9,6,IF(B2&lt;=39,7,IF(B2&lt;=69,8,9)))</f>
        <v>8</v>
      </c>
      <c r="D2" s="2">
        <f ca="1">C2</f>
        <v>8</v>
      </c>
      <c r="E2" s="2">
        <v>6</v>
      </c>
      <c r="F2" s="2">
        <f ca="1">IF(E2-D2&lt;0,0,E2-D2)</f>
        <v>0</v>
      </c>
      <c r="G2" s="2">
        <f>J2-E2</f>
        <v>8</v>
      </c>
      <c r="H2" s="2">
        <f ca="1">RANDBETWEEN(1,100)</f>
        <v>64</v>
      </c>
      <c r="I2" s="2">
        <f ca="1">IF(H2&lt;=39,6,IF(H2&lt;=69,8,IF(H2&lt;=99,10)))</f>
        <v>8</v>
      </c>
      <c r="J2" s="2">
        <v>14</v>
      </c>
      <c r="K2" s="2">
        <f ca="1">F2+I2</f>
        <v>8</v>
      </c>
      <c r="M2">
        <f ca="1">(F22+K22)/2</f>
        <v>154</v>
      </c>
    </row>
    <row r="3" spans="1:13" x14ac:dyDescent="0.35">
      <c r="A3" s="2">
        <f>1+A2</f>
        <v>2</v>
      </c>
      <c r="B3" s="2">
        <f t="shared" ref="B3:B21" ca="1" si="0">RANDBETWEEN(1,100)</f>
        <v>3</v>
      </c>
      <c r="C3" s="2">
        <f ca="1">IF(B3&lt;=9,6,IF(B3&lt;=39,7,IF(B3&lt;=69,8,9)))</f>
        <v>6</v>
      </c>
      <c r="D3" s="2">
        <f ca="1">D2+C3</f>
        <v>14</v>
      </c>
      <c r="E3" s="2">
        <v>14</v>
      </c>
      <c r="F3" s="2">
        <f t="shared" ref="F3:F21" ca="1" si="1">IF(E3-D3&lt;0,0,E3-D3)</f>
        <v>0</v>
      </c>
      <c r="G3" s="2">
        <f t="shared" ref="G3:G21" si="2">J3-E3</f>
        <v>6</v>
      </c>
      <c r="H3" s="2">
        <f t="shared" ref="H3:H21" ca="1" si="3">RANDBETWEEN(1,100)</f>
        <v>62</v>
      </c>
      <c r="I3" s="2">
        <f t="shared" ref="I3:I21" ca="1" si="4">IF(H3&lt;=39,6,IF(H3&lt;=69,8,IF(H3&lt;=99,10)))</f>
        <v>8</v>
      </c>
      <c r="J3" s="2">
        <v>20</v>
      </c>
      <c r="K3" s="2">
        <f t="shared" ref="K3:K21" ca="1" si="5">F3+I3</f>
        <v>8</v>
      </c>
    </row>
    <row r="4" spans="1:13" x14ac:dyDescent="0.35">
      <c r="A4" s="2">
        <f t="shared" ref="A4:A20" si="6">1+A3</f>
        <v>3</v>
      </c>
      <c r="B4" s="2">
        <f t="shared" ca="1" si="0"/>
        <v>59</v>
      </c>
      <c r="C4" s="2">
        <f t="shared" ref="C4:C21" ca="1" si="7">IF(B4&lt;=9,6,IF(B4&lt;=39,7,IF(B4&lt;=69,8,9)))</f>
        <v>8</v>
      </c>
      <c r="D4" s="2">
        <f t="shared" ref="D4:D21" ca="1" si="8">D3+C4</f>
        <v>22</v>
      </c>
      <c r="E4" s="2">
        <v>20</v>
      </c>
      <c r="F4" s="2">
        <f t="shared" ca="1" si="1"/>
        <v>0</v>
      </c>
      <c r="G4" s="2">
        <f t="shared" si="2"/>
        <v>10</v>
      </c>
      <c r="H4" s="2">
        <f t="shared" ca="1" si="3"/>
        <v>88</v>
      </c>
      <c r="I4" s="2">
        <f t="shared" ca="1" si="4"/>
        <v>10</v>
      </c>
      <c r="J4" s="2">
        <v>30</v>
      </c>
      <c r="K4" s="2">
        <f t="shared" ca="1" si="5"/>
        <v>10</v>
      </c>
    </row>
    <row r="5" spans="1:13" x14ac:dyDescent="0.35">
      <c r="A5" s="2">
        <f t="shared" si="6"/>
        <v>4</v>
      </c>
      <c r="B5" s="2">
        <f t="shared" ca="1" si="0"/>
        <v>73</v>
      </c>
      <c r="C5" s="2">
        <f t="shared" ca="1" si="7"/>
        <v>9</v>
      </c>
      <c r="D5" s="2">
        <f t="shared" ca="1" si="8"/>
        <v>31</v>
      </c>
      <c r="E5" s="2">
        <v>30</v>
      </c>
      <c r="F5" s="2">
        <f t="shared" ca="1" si="1"/>
        <v>0</v>
      </c>
      <c r="G5" s="2">
        <f t="shared" si="2"/>
        <v>6</v>
      </c>
      <c r="H5" s="2">
        <f t="shared" ca="1" si="3"/>
        <v>97</v>
      </c>
      <c r="I5" s="2">
        <f t="shared" ca="1" si="4"/>
        <v>10</v>
      </c>
      <c r="J5" s="2">
        <v>36</v>
      </c>
      <c r="K5" s="2">
        <f t="shared" ca="1" si="5"/>
        <v>10</v>
      </c>
    </row>
    <row r="6" spans="1:13" x14ac:dyDescent="0.35">
      <c r="A6" s="2">
        <f t="shared" si="6"/>
        <v>5</v>
      </c>
      <c r="B6" s="2">
        <f t="shared" ca="1" si="0"/>
        <v>69</v>
      </c>
      <c r="C6" s="2">
        <f t="shared" ca="1" si="7"/>
        <v>8</v>
      </c>
      <c r="D6" s="2">
        <f t="shared" ca="1" si="8"/>
        <v>39</v>
      </c>
      <c r="E6" s="2">
        <v>37</v>
      </c>
      <c r="F6" s="2">
        <f t="shared" ca="1" si="1"/>
        <v>0</v>
      </c>
      <c r="G6" s="2">
        <f t="shared" si="2"/>
        <v>6</v>
      </c>
      <c r="H6" s="2">
        <f t="shared" ca="1" si="3"/>
        <v>52</v>
      </c>
      <c r="I6" s="2">
        <f t="shared" ca="1" si="4"/>
        <v>8</v>
      </c>
      <c r="J6" s="2">
        <v>43</v>
      </c>
      <c r="K6" s="2">
        <f t="shared" ca="1" si="5"/>
        <v>8</v>
      </c>
    </row>
    <row r="7" spans="1:13" x14ac:dyDescent="0.35">
      <c r="A7" s="2">
        <f t="shared" si="6"/>
        <v>6</v>
      </c>
      <c r="B7" s="2">
        <f t="shared" ca="1" si="0"/>
        <v>35</v>
      </c>
      <c r="C7" s="2">
        <f t="shared" ca="1" si="7"/>
        <v>7</v>
      </c>
      <c r="D7" s="2">
        <f t="shared" ca="1" si="8"/>
        <v>46</v>
      </c>
      <c r="E7" s="2">
        <v>44</v>
      </c>
      <c r="F7" s="2">
        <f t="shared" ca="1" si="1"/>
        <v>0</v>
      </c>
      <c r="G7" s="2">
        <f t="shared" si="2"/>
        <v>8</v>
      </c>
      <c r="H7" s="2">
        <f t="shared" ca="1" si="3"/>
        <v>68</v>
      </c>
      <c r="I7" s="2">
        <f t="shared" ca="1" si="4"/>
        <v>8</v>
      </c>
      <c r="J7" s="2">
        <v>52</v>
      </c>
      <c r="K7" s="2">
        <f t="shared" ca="1" si="5"/>
        <v>8</v>
      </c>
    </row>
    <row r="8" spans="1:13" x14ac:dyDescent="0.35">
      <c r="A8" s="2">
        <f t="shared" si="6"/>
        <v>7</v>
      </c>
      <c r="B8" s="2">
        <f t="shared" ca="1" si="0"/>
        <v>42</v>
      </c>
      <c r="C8" s="2">
        <f t="shared" ca="1" si="7"/>
        <v>8</v>
      </c>
      <c r="D8" s="2">
        <f t="shared" ca="1" si="8"/>
        <v>54</v>
      </c>
      <c r="E8" s="2">
        <v>54</v>
      </c>
      <c r="F8" s="2">
        <f t="shared" ca="1" si="1"/>
        <v>0</v>
      </c>
      <c r="G8" s="2">
        <f t="shared" si="2"/>
        <v>10</v>
      </c>
      <c r="H8" s="2">
        <f t="shared" ca="1" si="3"/>
        <v>33</v>
      </c>
      <c r="I8" s="2">
        <f t="shared" ca="1" si="4"/>
        <v>6</v>
      </c>
      <c r="J8" s="2">
        <v>64</v>
      </c>
      <c r="K8" s="2">
        <f t="shared" ca="1" si="5"/>
        <v>6</v>
      </c>
    </row>
    <row r="9" spans="1:13" x14ac:dyDescent="0.35">
      <c r="A9" s="2">
        <f t="shared" si="6"/>
        <v>8</v>
      </c>
      <c r="B9" s="2">
        <f t="shared" ca="1" si="0"/>
        <v>23</v>
      </c>
      <c r="C9" s="2">
        <f t="shared" ca="1" si="7"/>
        <v>7</v>
      </c>
      <c r="D9" s="2">
        <f t="shared" ca="1" si="8"/>
        <v>61</v>
      </c>
      <c r="E9" s="2">
        <v>64</v>
      </c>
      <c r="F9" s="2">
        <f t="shared" ca="1" si="1"/>
        <v>3</v>
      </c>
      <c r="G9" s="2">
        <f t="shared" si="2"/>
        <v>8</v>
      </c>
      <c r="H9" s="2">
        <f t="shared" ca="1" si="3"/>
        <v>24</v>
      </c>
      <c r="I9" s="2">
        <f t="shared" ca="1" si="4"/>
        <v>6</v>
      </c>
      <c r="J9" s="2">
        <v>72</v>
      </c>
      <c r="K9" s="2">
        <f t="shared" ca="1" si="5"/>
        <v>9</v>
      </c>
    </row>
    <row r="10" spans="1:13" x14ac:dyDescent="0.35">
      <c r="A10" s="2">
        <f t="shared" si="6"/>
        <v>9</v>
      </c>
      <c r="B10" s="2">
        <f t="shared" ca="1" si="0"/>
        <v>14</v>
      </c>
      <c r="C10" s="2">
        <f t="shared" ca="1" si="7"/>
        <v>7</v>
      </c>
      <c r="D10" s="2">
        <f t="shared" ca="1" si="8"/>
        <v>68</v>
      </c>
      <c r="E10" s="2">
        <v>72</v>
      </c>
      <c r="F10" s="2">
        <f t="shared" ca="1" si="1"/>
        <v>4</v>
      </c>
      <c r="G10" s="2">
        <f t="shared" si="2"/>
        <v>10</v>
      </c>
      <c r="H10" s="2">
        <f t="shared" ca="1" si="3"/>
        <v>55</v>
      </c>
      <c r="I10" s="2">
        <f t="shared" ca="1" si="4"/>
        <v>8</v>
      </c>
      <c r="J10" s="2">
        <v>82</v>
      </c>
      <c r="K10" s="2">
        <f t="shared" ca="1" si="5"/>
        <v>12</v>
      </c>
    </row>
    <row r="11" spans="1:13" x14ac:dyDescent="0.35">
      <c r="A11" s="2">
        <f t="shared" si="6"/>
        <v>10</v>
      </c>
      <c r="B11" s="2">
        <f t="shared" ca="1" si="0"/>
        <v>40</v>
      </c>
      <c r="C11" s="2">
        <f t="shared" ca="1" si="7"/>
        <v>8</v>
      </c>
      <c r="D11" s="2">
        <f t="shared" ca="1" si="8"/>
        <v>76</v>
      </c>
      <c r="E11" s="2">
        <v>82</v>
      </c>
      <c r="F11" s="2">
        <f t="shared" ca="1" si="1"/>
        <v>6</v>
      </c>
      <c r="G11" s="2">
        <f t="shared" si="2"/>
        <v>6</v>
      </c>
      <c r="H11" s="2">
        <f t="shared" ca="1" si="3"/>
        <v>79</v>
      </c>
      <c r="I11" s="2">
        <f t="shared" ca="1" si="4"/>
        <v>10</v>
      </c>
      <c r="J11" s="2">
        <v>88</v>
      </c>
      <c r="K11" s="2">
        <f t="shared" ca="1" si="5"/>
        <v>16</v>
      </c>
    </row>
    <row r="12" spans="1:13" x14ac:dyDescent="0.35">
      <c r="A12" s="2">
        <f t="shared" si="6"/>
        <v>11</v>
      </c>
      <c r="B12" s="2">
        <f t="shared" ca="1" si="0"/>
        <v>92</v>
      </c>
      <c r="C12" s="2">
        <f t="shared" ca="1" si="7"/>
        <v>9</v>
      </c>
      <c r="D12" s="2">
        <f t="shared" ca="1" si="8"/>
        <v>85</v>
      </c>
      <c r="E12" s="2">
        <v>88</v>
      </c>
      <c r="F12" s="2">
        <f t="shared" ca="1" si="1"/>
        <v>3</v>
      </c>
      <c r="G12" s="2">
        <f t="shared" si="2"/>
        <v>10</v>
      </c>
      <c r="H12" s="2">
        <f t="shared" ca="1" si="3"/>
        <v>36</v>
      </c>
      <c r="I12" s="2">
        <f t="shared" ca="1" si="4"/>
        <v>6</v>
      </c>
      <c r="J12" s="2">
        <v>98</v>
      </c>
      <c r="K12" s="2">
        <f t="shared" ca="1" si="5"/>
        <v>9</v>
      </c>
    </row>
    <row r="13" spans="1:13" x14ac:dyDescent="0.35">
      <c r="A13" s="2">
        <f t="shared" si="6"/>
        <v>12</v>
      </c>
      <c r="B13" s="2">
        <f t="shared" ca="1" si="0"/>
        <v>42</v>
      </c>
      <c r="C13" s="2">
        <f t="shared" ca="1" si="7"/>
        <v>8</v>
      </c>
      <c r="D13" s="2">
        <f t="shared" ca="1" si="8"/>
        <v>93</v>
      </c>
      <c r="E13" s="2">
        <v>98</v>
      </c>
      <c r="F13" s="2">
        <f t="shared" ca="1" si="1"/>
        <v>5</v>
      </c>
      <c r="G13" s="2">
        <f t="shared" si="2"/>
        <v>6</v>
      </c>
      <c r="H13" s="2">
        <f t="shared" ca="1" si="3"/>
        <v>33</v>
      </c>
      <c r="I13" s="2">
        <f t="shared" ca="1" si="4"/>
        <v>6</v>
      </c>
      <c r="J13" s="2">
        <v>104</v>
      </c>
      <c r="K13" s="2">
        <f t="shared" ca="1" si="5"/>
        <v>11</v>
      </c>
    </row>
    <row r="14" spans="1:13" x14ac:dyDescent="0.35">
      <c r="A14" s="2">
        <f t="shared" si="6"/>
        <v>13</v>
      </c>
      <c r="B14" s="2">
        <f t="shared" ca="1" si="0"/>
        <v>12</v>
      </c>
      <c r="C14" s="2">
        <f t="shared" ca="1" si="7"/>
        <v>7</v>
      </c>
      <c r="D14" s="2">
        <f t="shared" ca="1" si="8"/>
        <v>100</v>
      </c>
      <c r="E14" s="2">
        <v>104</v>
      </c>
      <c r="F14" s="2">
        <f t="shared" ca="1" si="1"/>
        <v>4</v>
      </c>
      <c r="G14" s="2">
        <f t="shared" si="2"/>
        <v>8</v>
      </c>
      <c r="H14" s="2">
        <f t="shared" ca="1" si="3"/>
        <v>63</v>
      </c>
      <c r="I14" s="2">
        <f t="shared" ca="1" si="4"/>
        <v>8</v>
      </c>
      <c r="J14" s="2">
        <v>112</v>
      </c>
      <c r="K14" s="2">
        <f t="shared" ca="1" si="5"/>
        <v>12</v>
      </c>
    </row>
    <row r="15" spans="1:13" x14ac:dyDescent="0.35">
      <c r="A15" s="2">
        <f t="shared" si="6"/>
        <v>14</v>
      </c>
      <c r="B15" s="2">
        <f t="shared" ca="1" si="0"/>
        <v>31</v>
      </c>
      <c r="C15" s="2">
        <f t="shared" ca="1" si="7"/>
        <v>7</v>
      </c>
      <c r="D15" s="2">
        <f t="shared" ca="1" si="8"/>
        <v>107</v>
      </c>
      <c r="E15" s="2">
        <v>113</v>
      </c>
      <c r="F15" s="2">
        <f t="shared" ca="1" si="1"/>
        <v>6</v>
      </c>
      <c r="G15" s="2">
        <f t="shared" si="2"/>
        <v>6</v>
      </c>
      <c r="H15" s="2">
        <f t="shared" ca="1" si="3"/>
        <v>100</v>
      </c>
      <c r="I15" s="2" t="b">
        <f t="shared" ca="1" si="4"/>
        <v>0</v>
      </c>
      <c r="J15" s="2">
        <v>119</v>
      </c>
      <c r="K15" s="2">
        <f t="shared" ca="1" si="5"/>
        <v>6</v>
      </c>
    </row>
    <row r="16" spans="1:13" x14ac:dyDescent="0.35">
      <c r="A16" s="2">
        <f t="shared" si="6"/>
        <v>15</v>
      </c>
      <c r="B16" s="2">
        <f t="shared" ca="1" si="0"/>
        <v>79</v>
      </c>
      <c r="C16" s="2">
        <f t="shared" ca="1" si="7"/>
        <v>9</v>
      </c>
      <c r="D16" s="2">
        <f t="shared" ca="1" si="8"/>
        <v>116</v>
      </c>
      <c r="E16" s="2">
        <v>123</v>
      </c>
      <c r="F16" s="2">
        <f t="shared" ca="1" si="1"/>
        <v>7</v>
      </c>
      <c r="G16" s="2">
        <f t="shared" si="2"/>
        <v>10</v>
      </c>
      <c r="H16" s="2">
        <f t="shared" ca="1" si="3"/>
        <v>57</v>
      </c>
      <c r="I16" s="2">
        <f t="shared" ca="1" si="4"/>
        <v>8</v>
      </c>
      <c r="J16" s="2">
        <v>133</v>
      </c>
      <c r="K16" s="2">
        <f t="shared" ca="1" si="5"/>
        <v>15</v>
      </c>
    </row>
    <row r="17" spans="1:11" x14ac:dyDescent="0.35">
      <c r="A17" s="2">
        <f t="shared" si="6"/>
        <v>16</v>
      </c>
      <c r="B17" s="2">
        <f t="shared" ca="1" si="0"/>
        <v>57</v>
      </c>
      <c r="C17" s="2">
        <f t="shared" ca="1" si="7"/>
        <v>8</v>
      </c>
      <c r="D17" s="2">
        <f t="shared" ca="1" si="8"/>
        <v>124</v>
      </c>
      <c r="E17" s="2">
        <v>133</v>
      </c>
      <c r="F17" s="2">
        <f t="shared" ca="1" si="1"/>
        <v>9</v>
      </c>
      <c r="G17" s="2">
        <f t="shared" si="2"/>
        <v>8</v>
      </c>
      <c r="H17" s="2">
        <f t="shared" ca="1" si="3"/>
        <v>99</v>
      </c>
      <c r="I17" s="2">
        <f t="shared" ca="1" si="4"/>
        <v>10</v>
      </c>
      <c r="J17" s="2">
        <v>141</v>
      </c>
      <c r="K17" s="2">
        <f t="shared" ca="1" si="5"/>
        <v>19</v>
      </c>
    </row>
    <row r="18" spans="1:11" x14ac:dyDescent="0.35">
      <c r="A18" s="2">
        <f t="shared" si="6"/>
        <v>17</v>
      </c>
      <c r="B18" s="2">
        <f t="shared" ca="1" si="0"/>
        <v>41</v>
      </c>
      <c r="C18" s="2">
        <f t="shared" ca="1" si="7"/>
        <v>8</v>
      </c>
      <c r="D18" s="2">
        <f t="shared" ca="1" si="8"/>
        <v>132</v>
      </c>
      <c r="E18" s="2">
        <v>141</v>
      </c>
      <c r="F18" s="2">
        <f t="shared" ca="1" si="1"/>
        <v>9</v>
      </c>
      <c r="G18" s="2">
        <f t="shared" si="2"/>
        <v>8</v>
      </c>
      <c r="H18" s="2">
        <f t="shared" ca="1" si="3"/>
        <v>6</v>
      </c>
      <c r="I18" s="2">
        <f t="shared" ca="1" si="4"/>
        <v>6</v>
      </c>
      <c r="J18" s="2">
        <v>149</v>
      </c>
      <c r="K18" s="2">
        <f t="shared" ca="1" si="5"/>
        <v>15</v>
      </c>
    </row>
    <row r="19" spans="1:11" x14ac:dyDescent="0.35">
      <c r="A19" s="2">
        <f t="shared" si="6"/>
        <v>18</v>
      </c>
      <c r="B19" s="2">
        <f t="shared" ca="1" si="0"/>
        <v>40</v>
      </c>
      <c r="C19" s="2">
        <f t="shared" ca="1" si="7"/>
        <v>8</v>
      </c>
      <c r="D19" s="2">
        <f t="shared" ca="1" si="8"/>
        <v>140</v>
      </c>
      <c r="E19" s="2">
        <v>149</v>
      </c>
      <c r="F19" s="2">
        <f t="shared" ca="1" si="1"/>
        <v>9</v>
      </c>
      <c r="G19" s="2">
        <f t="shared" si="2"/>
        <v>6</v>
      </c>
      <c r="H19" s="2">
        <f t="shared" ca="1" si="3"/>
        <v>81</v>
      </c>
      <c r="I19" s="2">
        <f t="shared" ca="1" si="4"/>
        <v>10</v>
      </c>
      <c r="J19" s="2">
        <v>155</v>
      </c>
      <c r="K19" s="2">
        <f t="shared" ca="1" si="5"/>
        <v>19</v>
      </c>
    </row>
    <row r="20" spans="1:11" x14ac:dyDescent="0.35">
      <c r="A20" s="2">
        <f t="shared" si="6"/>
        <v>19</v>
      </c>
      <c r="B20" s="2">
        <f t="shared" ca="1" si="0"/>
        <v>23</v>
      </c>
      <c r="C20" s="2">
        <f t="shared" ca="1" si="7"/>
        <v>7</v>
      </c>
      <c r="D20" s="2">
        <f t="shared" ca="1" si="8"/>
        <v>147</v>
      </c>
      <c r="E20" s="2">
        <v>155</v>
      </c>
      <c r="F20" s="2">
        <f t="shared" ca="1" si="1"/>
        <v>8</v>
      </c>
      <c r="G20" s="2">
        <f t="shared" si="2"/>
        <v>6</v>
      </c>
      <c r="H20" s="2">
        <f t="shared" ca="1" si="3"/>
        <v>85</v>
      </c>
      <c r="I20" s="2">
        <f t="shared" ca="1" si="4"/>
        <v>10</v>
      </c>
      <c r="J20" s="2">
        <v>161</v>
      </c>
      <c r="K20" s="2">
        <f t="shared" ca="1" si="5"/>
        <v>18</v>
      </c>
    </row>
    <row r="21" spans="1:11" x14ac:dyDescent="0.35">
      <c r="A21" s="2">
        <f>1+A20</f>
        <v>20</v>
      </c>
      <c r="B21" s="2">
        <f t="shared" ca="1" si="0"/>
        <v>73</v>
      </c>
      <c r="C21" s="2">
        <f t="shared" ca="1" si="7"/>
        <v>9</v>
      </c>
      <c r="D21" s="2">
        <f t="shared" ca="1" si="8"/>
        <v>156</v>
      </c>
      <c r="E21" s="2">
        <v>161</v>
      </c>
      <c r="F21" s="2">
        <f t="shared" ca="1" si="1"/>
        <v>5</v>
      </c>
      <c r="G21" s="2">
        <f t="shared" si="2"/>
        <v>10</v>
      </c>
      <c r="H21" s="2">
        <f t="shared" ca="1" si="3"/>
        <v>13</v>
      </c>
      <c r="I21" s="2">
        <f t="shared" ca="1" si="4"/>
        <v>6</v>
      </c>
      <c r="J21" s="2">
        <v>171</v>
      </c>
      <c r="K21" s="2">
        <f t="shared" ca="1" si="5"/>
        <v>11</v>
      </c>
    </row>
    <row r="22" spans="1:11" x14ac:dyDescent="0.35">
      <c r="A22" s="1" t="s">
        <v>11</v>
      </c>
      <c r="B22" s="3"/>
      <c r="C22" s="3"/>
      <c r="D22" s="3"/>
      <c r="E22" s="3"/>
      <c r="F22" s="1">
        <f ca="1">SUM(F2:F21)</f>
        <v>78</v>
      </c>
      <c r="G22" s="1">
        <f>SUM(G2:G21)</f>
        <v>156</v>
      </c>
      <c r="H22" s="1"/>
      <c r="I22" s="1">
        <f ca="1">SUM(I2:I21)</f>
        <v>152</v>
      </c>
      <c r="J22" s="3"/>
      <c r="K22" s="1">
        <f ca="1">SUM(K2:K21)</f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AA4C-FAD0-4F31-8AB2-7A79B7C7B65E}">
  <dimension ref="A1:Q22"/>
  <sheetViews>
    <sheetView zoomScale="64" workbookViewId="0">
      <selection activeCell="Q7" sqref="Q7"/>
    </sheetView>
  </sheetViews>
  <sheetFormatPr defaultRowHeight="14.5" x14ac:dyDescent="0.35"/>
  <cols>
    <col min="1" max="1" width="7.08984375" bestFit="1" customWidth="1"/>
    <col min="2" max="2" width="2.81640625" bestFit="1" customWidth="1"/>
    <col min="3" max="3" width="5.26953125" bestFit="1" customWidth="1"/>
    <col min="4" max="4" width="3.81640625" bestFit="1" customWidth="1"/>
    <col min="5" max="5" width="21.90625" bestFit="1" customWidth="1"/>
    <col min="6" max="6" width="20.453125" bestFit="1" customWidth="1"/>
    <col min="7" max="7" width="24.36328125" bestFit="1" customWidth="1"/>
    <col min="8" max="8" width="2.81640625" bestFit="1" customWidth="1"/>
    <col min="9" max="9" width="12.08984375" bestFit="1" customWidth="1"/>
    <col min="10" max="10" width="23.54296875" bestFit="1" customWidth="1"/>
    <col min="11" max="11" width="30.1796875" bestFit="1" customWidth="1"/>
    <col min="13" max="13" width="23.453125" bestFit="1" customWidth="1"/>
    <col min="15" max="15" width="20.7265625" bestFit="1" customWidth="1"/>
    <col min="17" max="17" width="33.54296875" bestFit="1" customWidth="1"/>
  </cols>
  <sheetData>
    <row r="1" spans="1:17" x14ac:dyDescent="0.35">
      <c r="A1" s="1" t="s">
        <v>12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7</v>
      </c>
      <c r="I1" s="1" t="s">
        <v>18</v>
      </c>
      <c r="J1" s="1" t="s">
        <v>21</v>
      </c>
      <c r="K1" s="1" t="s">
        <v>20</v>
      </c>
      <c r="M1" s="5" t="s">
        <v>23</v>
      </c>
      <c r="O1" s="4" t="s">
        <v>22</v>
      </c>
      <c r="Q1" s="4" t="s">
        <v>24</v>
      </c>
    </row>
    <row r="2" spans="1:17" x14ac:dyDescent="0.35">
      <c r="A2" s="2">
        <v>1</v>
      </c>
      <c r="B2" s="2">
        <f ca="1">RANDBETWEEN(1,100)</f>
        <v>95</v>
      </c>
      <c r="C2" s="2">
        <f ca="1">IF(B2&lt;10,1,IF(B2&lt;40,2,IF(B2&lt;70,3,IF(B2&lt;90,4,5))))</f>
        <v>5</v>
      </c>
      <c r="D2" s="2">
        <f ca="1">C2</f>
        <v>5</v>
      </c>
      <c r="E2" s="2">
        <v>2</v>
      </c>
      <c r="F2" s="2">
        <f ca="1">IF(E2-D2&lt;0,0,E2-D2)</f>
        <v>0</v>
      </c>
      <c r="G2" s="2">
        <f>J2-E2</f>
        <v>3</v>
      </c>
      <c r="H2" s="2">
        <f ca="1">RANDBETWEEN(1,100)</f>
        <v>45</v>
      </c>
      <c r="I2" s="2">
        <f ca="1">IF(H2&lt;40,2,IF(H2&lt;=80,3,4))</f>
        <v>3</v>
      </c>
      <c r="J2" s="2">
        <v>5</v>
      </c>
      <c r="K2" s="2">
        <f ca="1">F2+I2</f>
        <v>3</v>
      </c>
      <c r="M2">
        <f ca="1">(I22/J21)*100</f>
        <v>94.029850746268664</v>
      </c>
      <c r="O2">
        <f ca="1">100-M2</f>
        <v>5.9701492537313356</v>
      </c>
      <c r="Q2">
        <f ca="1">(F22+I22)/20</f>
        <v>3.45</v>
      </c>
    </row>
    <row r="3" spans="1:17" x14ac:dyDescent="0.35">
      <c r="A3" s="2">
        <f>1+A2</f>
        <v>2</v>
      </c>
      <c r="B3" s="2">
        <f t="shared" ref="B3:B21" ca="1" si="0">RANDBETWEEN(1,100)</f>
        <v>43</v>
      </c>
      <c r="C3" s="2">
        <f t="shared" ref="C3:C21" ca="1" si="1">IF(B3&lt;10,1,IF(B3&lt;40,2,IF(B3&lt;70,3,IF(B3&lt;90,4,5))))</f>
        <v>3</v>
      </c>
      <c r="D3" s="2">
        <f ca="1">D2+C3</f>
        <v>8</v>
      </c>
      <c r="E3" s="2">
        <v>5</v>
      </c>
      <c r="F3" s="2">
        <f t="shared" ref="F3:F21" ca="1" si="2">IF(E3-D3&lt;0,0,E3-D3)</f>
        <v>0</v>
      </c>
      <c r="G3" s="2">
        <f t="shared" ref="G3:G21" si="3">J3-E3</f>
        <v>4</v>
      </c>
      <c r="H3" s="2">
        <f t="shared" ref="H3:H21" ca="1" si="4">RANDBETWEEN(1,100)</f>
        <v>58</v>
      </c>
      <c r="I3" s="2">
        <f t="shared" ref="I3:I21" ca="1" si="5">IF(H3&lt;40,2,IF(H3&lt;=80,3,4))</f>
        <v>3</v>
      </c>
      <c r="J3" s="2">
        <v>9</v>
      </c>
      <c r="K3" s="2">
        <f t="shared" ref="K3:K21" ca="1" si="6">F3+I3</f>
        <v>3</v>
      </c>
    </row>
    <row r="4" spans="1:17" x14ac:dyDescent="0.35">
      <c r="A4" s="2">
        <f t="shared" ref="A4:A20" si="7">1+A3</f>
        <v>3</v>
      </c>
      <c r="B4" s="2">
        <f t="shared" ca="1" si="0"/>
        <v>34</v>
      </c>
      <c r="C4" s="2">
        <f t="shared" ca="1" si="1"/>
        <v>2</v>
      </c>
      <c r="D4" s="2">
        <f t="shared" ref="D4:D21" ca="1" si="8">D3+C4</f>
        <v>10</v>
      </c>
      <c r="E4" s="2">
        <v>9</v>
      </c>
      <c r="F4" s="2">
        <f t="shared" ca="1" si="2"/>
        <v>0</v>
      </c>
      <c r="G4" s="2">
        <f t="shared" si="3"/>
        <v>2</v>
      </c>
      <c r="H4" s="2">
        <f t="shared" ca="1" si="4"/>
        <v>72</v>
      </c>
      <c r="I4" s="2">
        <f t="shared" ca="1" si="5"/>
        <v>3</v>
      </c>
      <c r="J4" s="2">
        <v>11</v>
      </c>
      <c r="K4" s="2">
        <f t="shared" ca="1" si="6"/>
        <v>3</v>
      </c>
    </row>
    <row r="5" spans="1:17" x14ac:dyDescent="0.35">
      <c r="A5" s="2">
        <f t="shared" si="7"/>
        <v>4</v>
      </c>
      <c r="B5" s="2">
        <f t="shared" ca="1" si="0"/>
        <v>73</v>
      </c>
      <c r="C5" s="2">
        <f t="shared" ca="1" si="1"/>
        <v>4</v>
      </c>
      <c r="D5" s="2">
        <f t="shared" ca="1" si="8"/>
        <v>14</v>
      </c>
      <c r="E5" s="2">
        <v>11</v>
      </c>
      <c r="F5" s="2">
        <f t="shared" ca="1" si="2"/>
        <v>0</v>
      </c>
      <c r="G5" s="2">
        <f t="shared" si="3"/>
        <v>2</v>
      </c>
      <c r="H5" s="2">
        <f t="shared" ca="1" si="4"/>
        <v>23</v>
      </c>
      <c r="I5" s="2">
        <f t="shared" ca="1" si="5"/>
        <v>2</v>
      </c>
      <c r="J5" s="2">
        <v>13</v>
      </c>
      <c r="K5" s="2">
        <f t="shared" ca="1" si="6"/>
        <v>2</v>
      </c>
    </row>
    <row r="6" spans="1:17" x14ac:dyDescent="0.35">
      <c r="A6" s="2">
        <f t="shared" si="7"/>
        <v>5</v>
      </c>
      <c r="B6" s="2">
        <f t="shared" ca="1" si="0"/>
        <v>52</v>
      </c>
      <c r="C6" s="2">
        <f t="shared" ca="1" si="1"/>
        <v>3</v>
      </c>
      <c r="D6" s="2">
        <f t="shared" ca="1" si="8"/>
        <v>17</v>
      </c>
      <c r="E6" s="2">
        <v>13</v>
      </c>
      <c r="F6" s="2">
        <f t="shared" ca="1" si="2"/>
        <v>0</v>
      </c>
      <c r="G6" s="2">
        <f t="shared" si="3"/>
        <v>2</v>
      </c>
      <c r="H6" s="2">
        <f t="shared" ca="1" si="4"/>
        <v>87</v>
      </c>
      <c r="I6" s="2">
        <f t="shared" ca="1" si="5"/>
        <v>4</v>
      </c>
      <c r="J6" s="2">
        <v>15</v>
      </c>
      <c r="K6" s="2">
        <f t="shared" ca="1" si="6"/>
        <v>4</v>
      </c>
    </row>
    <row r="7" spans="1:17" x14ac:dyDescent="0.35">
      <c r="A7" s="2">
        <f t="shared" si="7"/>
        <v>6</v>
      </c>
      <c r="B7" s="2">
        <f t="shared" ca="1" si="0"/>
        <v>82</v>
      </c>
      <c r="C7" s="2">
        <f t="shared" ca="1" si="1"/>
        <v>4</v>
      </c>
      <c r="D7" s="2">
        <f t="shared" ca="1" si="8"/>
        <v>21</v>
      </c>
      <c r="E7" s="2">
        <v>15</v>
      </c>
      <c r="F7" s="2">
        <f t="shared" ca="1" si="2"/>
        <v>0</v>
      </c>
      <c r="G7" s="2">
        <f t="shared" si="3"/>
        <v>2</v>
      </c>
      <c r="H7" s="2">
        <f t="shared" ca="1" si="4"/>
        <v>14</v>
      </c>
      <c r="I7" s="2">
        <f t="shared" ca="1" si="5"/>
        <v>2</v>
      </c>
      <c r="J7" s="2">
        <v>17</v>
      </c>
      <c r="K7" s="2">
        <f t="shared" ca="1" si="6"/>
        <v>2</v>
      </c>
    </row>
    <row r="8" spans="1:17" x14ac:dyDescent="0.35">
      <c r="A8" s="2">
        <f t="shared" si="7"/>
        <v>7</v>
      </c>
      <c r="B8" s="2">
        <f t="shared" ca="1" si="0"/>
        <v>81</v>
      </c>
      <c r="C8" s="2">
        <f t="shared" ca="1" si="1"/>
        <v>4</v>
      </c>
      <c r="D8" s="2">
        <f t="shared" ca="1" si="8"/>
        <v>25</v>
      </c>
      <c r="E8" s="2">
        <v>18</v>
      </c>
      <c r="F8" s="2">
        <f t="shared" ca="1" si="2"/>
        <v>0</v>
      </c>
      <c r="G8" s="2">
        <f t="shared" si="3"/>
        <v>2</v>
      </c>
      <c r="H8" s="2">
        <f t="shared" ca="1" si="4"/>
        <v>88</v>
      </c>
      <c r="I8" s="2">
        <f t="shared" ca="1" si="5"/>
        <v>4</v>
      </c>
      <c r="J8" s="2">
        <v>20</v>
      </c>
      <c r="K8" s="2">
        <f t="shared" ca="1" si="6"/>
        <v>4</v>
      </c>
    </row>
    <row r="9" spans="1:17" x14ac:dyDescent="0.35">
      <c r="A9" s="2">
        <f t="shared" si="7"/>
        <v>8</v>
      </c>
      <c r="B9" s="2">
        <f t="shared" ca="1" si="0"/>
        <v>22</v>
      </c>
      <c r="C9" s="2">
        <f t="shared" ca="1" si="1"/>
        <v>2</v>
      </c>
      <c r="D9" s="2">
        <f t="shared" ca="1" si="8"/>
        <v>27</v>
      </c>
      <c r="E9" s="2">
        <v>23</v>
      </c>
      <c r="F9" s="2">
        <f t="shared" ca="1" si="2"/>
        <v>0</v>
      </c>
      <c r="G9" s="2">
        <f t="shared" si="3"/>
        <v>4</v>
      </c>
      <c r="H9" s="2">
        <f t="shared" ca="1" si="4"/>
        <v>97</v>
      </c>
      <c r="I9" s="2">
        <f t="shared" ca="1" si="5"/>
        <v>4</v>
      </c>
      <c r="J9" s="2">
        <v>27</v>
      </c>
      <c r="K9" s="2">
        <f t="shared" ca="1" si="6"/>
        <v>4</v>
      </c>
    </row>
    <row r="10" spans="1:17" x14ac:dyDescent="0.35">
      <c r="A10" s="2">
        <f t="shared" si="7"/>
        <v>9</v>
      </c>
      <c r="B10" s="2">
        <f t="shared" ca="1" si="0"/>
        <v>45</v>
      </c>
      <c r="C10" s="2">
        <f t="shared" ca="1" si="1"/>
        <v>3</v>
      </c>
      <c r="D10" s="2">
        <f t="shared" ca="1" si="8"/>
        <v>30</v>
      </c>
      <c r="E10" s="2">
        <v>27</v>
      </c>
      <c r="F10" s="2">
        <f t="shared" ca="1" si="2"/>
        <v>0</v>
      </c>
      <c r="G10" s="2">
        <f t="shared" si="3"/>
        <v>2</v>
      </c>
      <c r="H10" s="2">
        <f t="shared" ca="1" si="4"/>
        <v>93</v>
      </c>
      <c r="I10" s="2">
        <f t="shared" ca="1" si="5"/>
        <v>4</v>
      </c>
      <c r="J10" s="2">
        <v>29</v>
      </c>
      <c r="K10" s="2">
        <f t="shared" ca="1" si="6"/>
        <v>4</v>
      </c>
    </row>
    <row r="11" spans="1:17" x14ac:dyDescent="0.35">
      <c r="A11" s="2">
        <f t="shared" si="7"/>
        <v>10</v>
      </c>
      <c r="B11" s="2">
        <f t="shared" ca="1" si="0"/>
        <v>86</v>
      </c>
      <c r="C11" s="2">
        <f t="shared" ca="1" si="1"/>
        <v>4</v>
      </c>
      <c r="D11" s="2">
        <f t="shared" ca="1" si="8"/>
        <v>34</v>
      </c>
      <c r="E11" s="2">
        <v>29</v>
      </c>
      <c r="F11" s="2">
        <f t="shared" ca="1" si="2"/>
        <v>0</v>
      </c>
      <c r="G11" s="2">
        <f t="shared" si="3"/>
        <v>2</v>
      </c>
      <c r="H11" s="2">
        <f t="shared" ca="1" si="4"/>
        <v>3</v>
      </c>
      <c r="I11" s="2">
        <f t="shared" ca="1" si="5"/>
        <v>2</v>
      </c>
      <c r="J11" s="2">
        <v>31</v>
      </c>
      <c r="K11" s="2">
        <f t="shared" ca="1" si="6"/>
        <v>2</v>
      </c>
    </row>
    <row r="12" spans="1:17" x14ac:dyDescent="0.35">
      <c r="A12" s="2">
        <f t="shared" si="7"/>
        <v>11</v>
      </c>
      <c r="B12" s="2">
        <f t="shared" ca="1" si="0"/>
        <v>96</v>
      </c>
      <c r="C12" s="2">
        <f t="shared" ca="1" si="1"/>
        <v>5</v>
      </c>
      <c r="D12" s="2">
        <f t="shared" ca="1" si="8"/>
        <v>39</v>
      </c>
      <c r="E12" s="2">
        <v>32</v>
      </c>
      <c r="F12" s="2">
        <f t="shared" ca="1" si="2"/>
        <v>0</v>
      </c>
      <c r="G12" s="2">
        <f t="shared" si="3"/>
        <v>2</v>
      </c>
      <c r="H12" s="2">
        <f t="shared" ca="1" si="4"/>
        <v>61</v>
      </c>
      <c r="I12" s="2">
        <f t="shared" ca="1" si="5"/>
        <v>3</v>
      </c>
      <c r="J12" s="2">
        <v>34</v>
      </c>
      <c r="K12" s="2">
        <f t="shared" ca="1" si="6"/>
        <v>3</v>
      </c>
    </row>
    <row r="13" spans="1:17" x14ac:dyDescent="0.35">
      <c r="A13" s="2">
        <f t="shared" si="7"/>
        <v>12</v>
      </c>
      <c r="B13" s="2">
        <f t="shared" ca="1" si="0"/>
        <v>61</v>
      </c>
      <c r="C13" s="2">
        <f t="shared" ca="1" si="1"/>
        <v>3</v>
      </c>
      <c r="D13" s="2">
        <f t="shared" ca="1" si="8"/>
        <v>42</v>
      </c>
      <c r="E13" s="2">
        <v>37</v>
      </c>
      <c r="F13" s="2">
        <f t="shared" ca="1" si="2"/>
        <v>0</v>
      </c>
      <c r="G13" s="2">
        <f t="shared" si="3"/>
        <v>3</v>
      </c>
      <c r="H13" s="2">
        <f t="shared" ca="1" si="4"/>
        <v>96</v>
      </c>
      <c r="I13" s="2">
        <f t="shared" ca="1" si="5"/>
        <v>4</v>
      </c>
      <c r="J13" s="2">
        <v>40</v>
      </c>
      <c r="K13" s="2">
        <f t="shared" ca="1" si="6"/>
        <v>4</v>
      </c>
    </row>
    <row r="14" spans="1:17" x14ac:dyDescent="0.35">
      <c r="A14" s="2">
        <f t="shared" si="7"/>
        <v>13</v>
      </c>
      <c r="B14" s="2">
        <f t="shared" ca="1" si="0"/>
        <v>13</v>
      </c>
      <c r="C14" s="2">
        <f t="shared" ca="1" si="1"/>
        <v>2</v>
      </c>
      <c r="D14" s="2">
        <f t="shared" ca="1" si="8"/>
        <v>44</v>
      </c>
      <c r="E14" s="2">
        <v>40</v>
      </c>
      <c r="F14" s="2">
        <f t="shared" ca="1" si="2"/>
        <v>0</v>
      </c>
      <c r="G14" s="2">
        <f t="shared" si="3"/>
        <v>3</v>
      </c>
      <c r="H14" s="2">
        <f t="shared" ca="1" si="4"/>
        <v>43</v>
      </c>
      <c r="I14" s="2">
        <f t="shared" ca="1" si="5"/>
        <v>3</v>
      </c>
      <c r="J14" s="2">
        <v>43</v>
      </c>
      <c r="K14" s="2">
        <f t="shared" ca="1" si="6"/>
        <v>3</v>
      </c>
    </row>
    <row r="15" spans="1:17" x14ac:dyDescent="0.35">
      <c r="A15" s="2">
        <f t="shared" si="7"/>
        <v>14</v>
      </c>
      <c r="B15" s="2">
        <f t="shared" ca="1" si="0"/>
        <v>7</v>
      </c>
      <c r="C15" s="2">
        <f t="shared" ca="1" si="1"/>
        <v>1</v>
      </c>
      <c r="D15" s="2">
        <f t="shared" ca="1" si="8"/>
        <v>45</v>
      </c>
      <c r="E15" s="2">
        <v>43</v>
      </c>
      <c r="F15" s="2">
        <f t="shared" ca="1" si="2"/>
        <v>0</v>
      </c>
      <c r="G15" s="2">
        <f t="shared" si="3"/>
        <v>4</v>
      </c>
      <c r="H15" s="2">
        <f t="shared" ca="1" si="4"/>
        <v>82</v>
      </c>
      <c r="I15" s="2">
        <f t="shared" ca="1" si="5"/>
        <v>4</v>
      </c>
      <c r="J15" s="2">
        <v>47</v>
      </c>
      <c r="K15" s="2">
        <f t="shared" ca="1" si="6"/>
        <v>4</v>
      </c>
    </row>
    <row r="16" spans="1:17" x14ac:dyDescent="0.35">
      <c r="A16" s="2">
        <f t="shared" si="7"/>
        <v>15</v>
      </c>
      <c r="B16" s="2">
        <f t="shared" ca="1" si="0"/>
        <v>38</v>
      </c>
      <c r="C16" s="2">
        <f t="shared" ca="1" si="1"/>
        <v>2</v>
      </c>
      <c r="D16" s="2">
        <f t="shared" ca="1" si="8"/>
        <v>47</v>
      </c>
      <c r="E16" s="2">
        <v>47</v>
      </c>
      <c r="F16" s="2">
        <f t="shared" ca="1" si="2"/>
        <v>0</v>
      </c>
      <c r="G16" s="2">
        <f t="shared" si="3"/>
        <v>2</v>
      </c>
      <c r="H16" s="2">
        <f t="shared" ca="1" si="4"/>
        <v>98</v>
      </c>
      <c r="I16" s="2">
        <f t="shared" ca="1" si="5"/>
        <v>4</v>
      </c>
      <c r="J16" s="2">
        <v>49</v>
      </c>
      <c r="K16" s="2">
        <f t="shared" ca="1" si="6"/>
        <v>4</v>
      </c>
    </row>
    <row r="17" spans="1:11" x14ac:dyDescent="0.35">
      <c r="A17" s="2">
        <f t="shared" si="7"/>
        <v>16</v>
      </c>
      <c r="B17" s="2">
        <f t="shared" ca="1" si="0"/>
        <v>13</v>
      </c>
      <c r="C17" s="2">
        <f t="shared" ca="1" si="1"/>
        <v>2</v>
      </c>
      <c r="D17" s="2">
        <f t="shared" ca="1" si="8"/>
        <v>49</v>
      </c>
      <c r="E17" s="2">
        <v>49</v>
      </c>
      <c r="F17" s="2">
        <f t="shared" ca="1" si="2"/>
        <v>0</v>
      </c>
      <c r="G17" s="2">
        <f t="shared" si="3"/>
        <v>3</v>
      </c>
      <c r="H17" s="2">
        <f t="shared" ca="1" si="4"/>
        <v>20</v>
      </c>
      <c r="I17" s="2">
        <f t="shared" ca="1" si="5"/>
        <v>2</v>
      </c>
      <c r="J17" s="2">
        <v>52</v>
      </c>
      <c r="K17" s="2">
        <f t="shared" ca="1" si="6"/>
        <v>2</v>
      </c>
    </row>
    <row r="18" spans="1:11" x14ac:dyDescent="0.35">
      <c r="A18" s="2">
        <f t="shared" si="7"/>
        <v>17</v>
      </c>
      <c r="B18" s="2">
        <f t="shared" ca="1" si="0"/>
        <v>37</v>
      </c>
      <c r="C18" s="2">
        <f t="shared" ca="1" si="1"/>
        <v>2</v>
      </c>
      <c r="D18" s="2">
        <f t="shared" ca="1" si="8"/>
        <v>51</v>
      </c>
      <c r="E18" s="2">
        <v>52</v>
      </c>
      <c r="F18" s="2">
        <f t="shared" ca="1" si="2"/>
        <v>1</v>
      </c>
      <c r="G18" s="2">
        <f t="shared" si="3"/>
        <v>4</v>
      </c>
      <c r="H18" s="2">
        <f t="shared" ca="1" si="4"/>
        <v>46</v>
      </c>
      <c r="I18" s="2">
        <f t="shared" ca="1" si="5"/>
        <v>3</v>
      </c>
      <c r="J18" s="2">
        <v>56</v>
      </c>
      <c r="K18" s="2">
        <f t="shared" ca="1" si="6"/>
        <v>4</v>
      </c>
    </row>
    <row r="19" spans="1:11" x14ac:dyDescent="0.35">
      <c r="A19" s="2">
        <f t="shared" si="7"/>
        <v>18</v>
      </c>
      <c r="B19" s="2">
        <f t="shared" ca="1" si="0"/>
        <v>78</v>
      </c>
      <c r="C19" s="2">
        <f t="shared" ca="1" si="1"/>
        <v>4</v>
      </c>
      <c r="D19" s="2">
        <f t="shared" ca="1" si="8"/>
        <v>55</v>
      </c>
      <c r="E19" s="2">
        <v>56</v>
      </c>
      <c r="F19" s="2">
        <f t="shared" ca="1" si="2"/>
        <v>1</v>
      </c>
      <c r="G19" s="2">
        <f t="shared" si="3"/>
        <v>3</v>
      </c>
      <c r="H19" s="2">
        <f t="shared" ca="1" si="4"/>
        <v>41</v>
      </c>
      <c r="I19" s="2">
        <f t="shared" ca="1" si="5"/>
        <v>3</v>
      </c>
      <c r="J19" s="2">
        <v>59</v>
      </c>
      <c r="K19" s="2">
        <f t="shared" ca="1" si="6"/>
        <v>4</v>
      </c>
    </row>
    <row r="20" spans="1:11" x14ac:dyDescent="0.35">
      <c r="A20" s="2">
        <f t="shared" si="7"/>
        <v>19</v>
      </c>
      <c r="B20" s="2">
        <f t="shared" ca="1" si="0"/>
        <v>46</v>
      </c>
      <c r="C20" s="2">
        <f t="shared" ca="1" si="1"/>
        <v>3</v>
      </c>
      <c r="D20" s="2">
        <f t="shared" ca="1" si="8"/>
        <v>58</v>
      </c>
      <c r="E20" s="2">
        <v>59</v>
      </c>
      <c r="F20" s="2">
        <f t="shared" ca="1" si="2"/>
        <v>1</v>
      </c>
      <c r="G20" s="2">
        <f t="shared" si="3"/>
        <v>4</v>
      </c>
      <c r="H20" s="2">
        <f t="shared" ca="1" si="4"/>
        <v>59</v>
      </c>
      <c r="I20" s="2">
        <f t="shared" ca="1" si="5"/>
        <v>3</v>
      </c>
      <c r="J20" s="2">
        <v>63</v>
      </c>
      <c r="K20" s="2">
        <f t="shared" ca="1" si="6"/>
        <v>4</v>
      </c>
    </row>
    <row r="21" spans="1:11" x14ac:dyDescent="0.35">
      <c r="A21" s="2">
        <f>1+A20</f>
        <v>20</v>
      </c>
      <c r="B21" s="2">
        <f t="shared" ca="1" si="0"/>
        <v>34</v>
      </c>
      <c r="C21" s="2">
        <f t="shared" ca="1" si="1"/>
        <v>2</v>
      </c>
      <c r="D21" s="2">
        <f t="shared" ca="1" si="8"/>
        <v>60</v>
      </c>
      <c r="E21" s="2">
        <v>63</v>
      </c>
      <c r="F21" s="2">
        <f t="shared" ca="1" si="2"/>
        <v>3</v>
      </c>
      <c r="G21" s="2">
        <f t="shared" si="3"/>
        <v>4</v>
      </c>
      <c r="H21" s="2">
        <f t="shared" ca="1" si="4"/>
        <v>54</v>
      </c>
      <c r="I21" s="2">
        <f t="shared" ca="1" si="5"/>
        <v>3</v>
      </c>
      <c r="J21" s="2">
        <v>67</v>
      </c>
      <c r="K21" s="2">
        <f t="shared" ca="1" si="6"/>
        <v>6</v>
      </c>
    </row>
    <row r="22" spans="1:11" x14ac:dyDescent="0.35">
      <c r="A22" s="1" t="s">
        <v>11</v>
      </c>
      <c r="B22" s="3"/>
      <c r="C22" s="3"/>
      <c r="D22" s="3"/>
      <c r="E22" s="3"/>
      <c r="F22" s="1">
        <f ca="1">SUM(F2:F21)</f>
        <v>6</v>
      </c>
      <c r="G22" s="1">
        <f>SUM(G2:G21)</f>
        <v>57</v>
      </c>
      <c r="H22" s="1"/>
      <c r="I22" s="1">
        <f ca="1">SUM(I2:I21)</f>
        <v>63</v>
      </c>
      <c r="J22" s="3"/>
      <c r="K22" s="1">
        <f ca="1">SUM(K2:K21)</f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mirayarslan2254@gmail.com</dc:creator>
  <cp:lastModifiedBy>mirayarslan2254@gmail.com</cp:lastModifiedBy>
  <dcterms:created xsi:type="dcterms:W3CDTF">2025-12-12T09:13:46Z</dcterms:created>
  <dcterms:modified xsi:type="dcterms:W3CDTF">2025-12-12T15:18:59Z</dcterms:modified>
</cp:coreProperties>
</file>